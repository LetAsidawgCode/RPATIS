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ssesment Roll" sheetId="2" state="visible" r:id="rId2"/>
    <sheet xmlns:r="http://schemas.openxmlformats.org/officeDocument/2006/relationships" name="Treasurer 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i val="1"/>
      <color rgb="004B5563"/>
      <sz val="9"/>
    </font>
    <font>
      <name val="Arial"/>
      <b val="1"/>
      <color rgb="004B5563"/>
      <sz val="8"/>
    </font>
    <font>
      <name val="Arial"/>
      <b val="1"/>
      <color rgb="00047857"/>
      <sz val="15"/>
    </font>
    <font>
      <name val="Arial"/>
      <b val="1"/>
      <color rgb="00B45309"/>
      <sz val="15"/>
    </font>
    <font>
      <name val="Arial"/>
      <b val="1"/>
      <color rgb="001E3A8A"/>
      <sz val="11"/>
    </font>
    <font>
      <name val="Arial"/>
      <b val="1"/>
      <color rgb="00FFFFFF"/>
      <sz val="9"/>
    </font>
    <font>
      <name val="Arial"/>
      <b val="1"/>
      <color rgb="00111827"/>
      <sz val="9"/>
    </font>
    <font>
      <name val="Arial"/>
      <color rgb="001F2937"/>
      <sz val="9"/>
    </font>
    <font>
      <name val="Arial"/>
      <i val="1"/>
      <color rgb="006B7280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065F46"/>
      <sz val="15"/>
    </font>
    <font>
      <name val="Arial"/>
      <b val="1"/>
      <color rgb="00065F46"/>
      <sz val="11"/>
    </font>
    <font>
      <name val="Arial"/>
      <b val="1"/>
      <color rgb="00991B1B"/>
      <sz val="9"/>
    </font>
  </fonts>
  <fills count="13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047857"/>
        <bgColor rgb="0004785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1182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8" fillId="7" borderId="1" pivotButton="0" quotePrefix="0" xfId="0"/>
    <xf numFmtId="3" fontId="0" fillId="7" borderId="1" pivotButton="0" quotePrefix="0" xfId="0"/>
    <xf numFmtId="164" fontId="0" fillId="7" borderId="1" pivotButton="0" quotePrefix="0" xfId="0"/>
    <xf numFmtId="165" fontId="0" fillId="7" borderId="1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0" fontId="7" fillId="8" borderId="1" applyAlignment="1" pivotButton="0" quotePrefix="0" xfId="0">
      <alignment horizontal="center" vertical="center"/>
    </xf>
    <xf numFmtId="0" fontId="8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8" fillId="9" borderId="1" pivotButton="0" quotePrefix="0" xfId="0"/>
    <xf numFmtId="3" fontId="9" fillId="9" borderId="1" pivotButton="0" quotePrefix="0" xfId="0"/>
    <xf numFmtId="164" fontId="9" fillId="9" borderId="1" pivotButton="0" quotePrefix="0" xfId="0"/>
    <xf numFmtId="165" fontId="9" fillId="9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11" fillId="6" borderId="1" pivotButton="0" quotePrefix="0" xfId="0"/>
    <xf numFmtId="0" fontId="12" fillId="7" borderId="1" pivotButton="0" quotePrefix="0" xfId="0"/>
    <xf numFmtId="0" fontId="13" fillId="0" borderId="0" pivotButton="0" quotePrefix="0" xfId="0"/>
    <xf numFmtId="3" fontId="4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15" fillId="11" borderId="1" pivotButton="0" quotePrefix="0" xfId="0"/>
    <xf numFmtId="0" fontId="7" fillId="12" borderId="1" applyAlignment="1" pivotButton="0" quotePrefix="0" xfId="0">
      <alignment horizontal="center" vertical="center"/>
    </xf>
    <xf numFmtId="3" fontId="0" fillId="0" borderId="1" pivotButton="0" quotePrefix="0" xfId="0"/>
    <xf numFmtId="164" fontId="0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Municipal Target: Collections Realized vs. Unpaid Delinquency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Dashboard'!$A$10:$A$11</f>
            </numRef>
          </cat>
          <val>
            <numRef>
              <f>'Executive Dashboard'!$D$10:$D$11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 Collectible Share by Property Classification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Dashboard'!$A$16:$A$18</f>
            </numRef>
          </cat>
          <val>
            <numRef>
              <f>'Executive Dashboard'!$E$16:$E$18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Comparison: Market Value vs. Assessed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Dashboard'!$A$16:$A$18</f>
            </numRef>
          </cat>
          <val>
            <numRef>
              <f>'Executive Dashboard'!$C$16:$C$18</f>
            </numRef>
          </val>
        </ser>
        <ser>
          <idx val="1"/>
          <order val="1"/>
          <tx>
            <strRef>
              <f>'Executive Dashboard'!D15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Dashboard'!$A$16:$A$18</f>
            </numRef>
          </cat>
          <val>
            <numRef>
              <f>'Executive Dashboard'!$D$16:$D$18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 Classification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Valuation in PHP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Taxable Valuation Base (Assessed Value) by Barangay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Dashboard'!$A$23:$A$30</f>
            </numRef>
          </cat>
          <val>
            <numRef>
              <f>'Executive Dashboard'!$C$23:$C$30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Barangay Jurisdiction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Assessed Value in PHP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Treasurer Tax Yield: Paid Collections vs. Unpaid Balance</a:t>
            </a:r>
          </a:p>
        </rich>
      </tx>
    </title>
    <plotArea>
      <doughnutChart>
        <varyColors val="1"/>
        <ser>
          <idx val="0"/>
          <order val="0"/>
          <tx>
            <strRef>
              <f>'Treasurer Collections'!D18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'Treasurer Collections'!$A$19:$A$20</f>
            </numRef>
          </cat>
          <val>
            <numRef>
              <f>'Treasurer Collections'!$D$19:$D$20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Property Accounts: Paid vs. Unpaid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'Treasurer Collections'!B18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'Treasurer Collections'!$A$19:$A$20</f>
            </numRef>
          </cat>
          <val>
            <numRef>
              <f>'Treasurer Collections'!$B$19:$B$20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Property Parcels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Audit: Amount Paid vs. Assessor Tax Due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'Treasurer Collections'!D9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'Treasurer Collections'!$C$10:$C$14</f>
            </numRef>
          </cat>
          <val>
            <numRef>
              <f>'Treasurer Collections'!$D$10:$D$14</f>
            </numRef>
          </val>
        </ser>
        <ser>
          <idx val="1"/>
          <order val="1"/>
          <tx>
            <strRef>
              <f>'Treasurer Collections'!E9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'Treasurer Collections'!$C$10:$C$14</f>
            </numRef>
          </cat>
          <val>
            <numRef>
              <f>'Treasurer Collections'!$E$10:$E$14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Tax Declaration Number (TD No.)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in PHP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17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17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51" customWidth="1" min="2" max="2"/>
    <col width="78" customWidth="1" min="3" max="3"/>
    <col width="73" customWidth="1" min="4" max="4"/>
    <col width="135" customWidth="1" min="5" max="5"/>
    <col width="125" customWidth="1" min="6" max="6"/>
    <col width="27" customWidth="1" min="7" max="7"/>
    <col width="13" customWidth="1" min="8" max="8"/>
    <col width="32" customWidth="1" min="9" max="9"/>
    <col width="13" customWidth="1" min="10" max="10"/>
    <col width="29" customWidth="1" min="11" max="11"/>
    <col width="13" customWidth="1" min="12" max="12"/>
    <col width="25" customWidth="1" min="13" max="13"/>
    <col width="13" customWidth="1" min="14" max="14"/>
  </cols>
  <sheetData>
    <row r="1">
      <c r="A1" s="1" t="inlineStr">
        <is>
          <t>REAL PROPERTY ASSESSMENT &amp; TAXATION (eRPT) EXECUTIVE DASHBOARD</t>
        </is>
      </c>
    </row>
    <row r="2">
      <c r="A2" s="2" t="inlineStr">
        <is>
          <t>Inter-Office Synchronization &amp; Revenue Intelligence System | Municipality of Pasacao, Camarines Sur</t>
        </is>
      </c>
    </row>
    <row r="3"/>
    <row r="4">
      <c r="A4" s="3" t="inlineStr">
        <is>
          <t>REGISTERED PARCELS</t>
        </is>
      </c>
      <c r="B4" s="4" t="n"/>
      <c r="C4" s="3" t="inlineStr">
        <is>
          <t>TOTAL MARKET VALUATION</t>
        </is>
      </c>
      <c r="D4" s="4" t="n"/>
      <c r="E4" s="3" t="inlineStr">
        <is>
          <t>TOTAL ASSESSED VALUATION</t>
        </is>
      </c>
      <c r="F4" s="4" t="n"/>
      <c r="G4" s="3" t="inlineStr">
        <is>
          <t>ANNUAL TAX BILLED (DUE)</t>
        </is>
      </c>
      <c r="H4" s="4" t="n"/>
      <c r="I4" s="5" t="inlineStr">
        <is>
          <t>COLLECTIONS REALIZED (PAID)</t>
        </is>
      </c>
      <c r="J4" s="4" t="n"/>
      <c r="K4" s="6" t="inlineStr">
        <is>
          <t>UNPAID DELINQUENCY TARGET</t>
        </is>
      </c>
      <c r="L4" s="4" t="n"/>
      <c r="M4" s="5" t="inlineStr">
        <is>
          <t>COLLECTION EFFICIENCY</t>
        </is>
      </c>
      <c r="N4" s="4" t="n"/>
    </row>
    <row r="5">
      <c r="A5" s="7">
        <f>'Assesment Roll'!B12</f>
        <v/>
      </c>
      <c r="B5" s="4" t="n"/>
      <c r="C5" s="8">
        <f>'Assesment Roll'!H12</f>
        <v/>
      </c>
      <c r="D5" s="4" t="n"/>
      <c r="E5" s="8">
        <f>'Assesment Roll'!J12</f>
        <v/>
      </c>
      <c r="F5" s="4" t="n"/>
      <c r="G5" s="8">
        <f>'Assesment Roll'!M12</f>
        <v/>
      </c>
      <c r="H5" s="4" t="n"/>
      <c r="I5" s="9">
        <f>'Treasurer Collections'!D11</f>
        <v/>
      </c>
      <c r="J5" s="4" t="n"/>
      <c r="K5" s="10">
        <f>G5-I5</f>
        <v/>
      </c>
      <c r="L5" s="4" t="n"/>
      <c r="M5" s="11">
        <f>I5/G5</f>
        <v/>
      </c>
      <c r="N5" s="4" t="n"/>
    </row>
    <row r="6"/>
    <row r="7"/>
    <row r="8">
      <c r="A8" s="12" t="inlineStr">
        <is>
          <t>1. REVENUE REALIZATION: PAID VS. UNPAID TAX PERFORMANCE</t>
        </is>
      </c>
    </row>
    <row r="9">
      <c r="A9" s="13" t="inlineStr">
        <is>
          <t>Payment Category</t>
        </is>
      </c>
      <c r="B9" s="13" t="inlineStr">
        <is>
          <t>Parcels</t>
        </is>
      </c>
      <c r="C9" s="13" t="inlineStr">
        <is>
          <t>Total Tax Billed</t>
        </is>
      </c>
      <c r="D9" s="13" t="inlineStr">
        <is>
          <t>Actual Collected</t>
        </is>
      </c>
      <c r="E9" s="13" t="inlineStr">
        <is>
          <t>Unpaid Balance</t>
        </is>
      </c>
      <c r="F9" s="13" t="inlineStr">
        <is>
          <t>Collection %</t>
        </is>
      </c>
    </row>
    <row r="10">
      <c r="A10" s="14" t="inlineStr">
        <is>
          <t>Settled / Paid Accounts</t>
        </is>
      </c>
      <c r="B10" s="15">
        <f>COUNTIF('Assesment Roll'!$N$3:$N$10, "Paid")</f>
        <v/>
      </c>
      <c r="C10" s="16">
        <f>SUMIF('Assesment Roll'!$N$3:$N$10, "Paid", 'Assesment Roll'!$M$3:$M$10)</f>
        <v/>
      </c>
      <c r="D10" s="16">
        <f>'Treasurer Collections'!D11</f>
        <v/>
      </c>
      <c r="E10" s="16">
        <f>C10-D10</f>
        <v/>
      </c>
      <c r="F10" s="17">
        <f>D10/C10</f>
        <v/>
      </c>
    </row>
    <row r="11">
      <c r="A11" s="18" t="inlineStr">
        <is>
          <t>Unpaid / Delinquent Accounts</t>
        </is>
      </c>
      <c r="B11" s="19">
        <f>COUNTIF('Assesment Roll'!$N$3:$N$10, "Unpaid")</f>
        <v/>
      </c>
      <c r="C11" s="20">
        <f>SUMIF('Assesment Roll'!$N$3:$N$10, "Unpaid", 'Assesment Roll'!$M$3:$M$10)</f>
        <v/>
      </c>
      <c r="D11" s="20" t="n">
        <v>0</v>
      </c>
      <c r="E11" s="20">
        <f>C11-D11</f>
        <v/>
      </c>
      <c r="F11" s="21">
        <f>D11/C11</f>
        <v/>
      </c>
    </row>
    <row r="12">
      <c r="A12" s="22" t="inlineStr">
        <is>
          <t>Total Municipal Assessment</t>
        </is>
      </c>
      <c r="B12" s="23">
        <f>SUM(B10:B11)</f>
        <v/>
      </c>
      <c r="C12" s="24">
        <f>SUM(C10:C11)</f>
        <v/>
      </c>
      <c r="D12" s="24">
        <f>SUM(D10:D11)</f>
        <v/>
      </c>
      <c r="E12" s="24">
        <f>SUM(E10:E11)</f>
        <v/>
      </c>
      <c r="F12" s="25">
        <f>D12/C12</f>
        <v/>
      </c>
    </row>
    <row r="13"/>
    <row r="14">
      <c r="A14" s="12" t="inlineStr">
        <is>
          <t>2. VALUATION &amp; TAX YIELD BY PROPERTY CLASSIFICATION</t>
        </is>
      </c>
    </row>
    <row r="15">
      <c r="A15" s="26" t="inlineStr">
        <is>
          <t>Classification</t>
        </is>
      </c>
      <c r="B15" s="26" t="inlineStr">
        <is>
          <t>Parcels</t>
        </is>
      </c>
      <c r="C15" s="26" t="inlineStr">
        <is>
          <t>Total Market Value</t>
        </is>
      </c>
      <c r="D15" s="26" t="inlineStr">
        <is>
          <t>Total Assessed Value</t>
        </is>
      </c>
      <c r="E15" s="26" t="inlineStr">
        <is>
          <t>Tax Collectible</t>
        </is>
      </c>
      <c r="F15" s="26" t="inlineStr">
        <is>
          <t>Share (%)</t>
        </is>
      </c>
    </row>
    <row r="16">
      <c r="A16" s="27" t="inlineStr">
        <is>
          <t>Residential</t>
        </is>
      </c>
      <c r="B16" s="28">
        <f>COUNTIF('Assesment Roll'!$E$3:$E$10, A16)</f>
        <v/>
      </c>
      <c r="C16" s="29">
        <f>SUMIF('Assesment Roll'!$E$3:$E$10, A16, 'Assesment Roll'!$H$3:$H$10)</f>
        <v/>
      </c>
      <c r="D16" s="29">
        <f>SUMIF('Assesment Roll'!$E$3:$E$10, A16, 'Assesment Roll'!$J$3:$J$10)</f>
        <v/>
      </c>
      <c r="E16" s="29">
        <f>SUMIF('Assesment Roll'!$E$3:$E$10, A16, 'Assesment Roll'!$M$3:$M$10)</f>
        <v/>
      </c>
      <c r="F16" s="30">
        <f>E16/$E$19</f>
        <v/>
      </c>
    </row>
    <row r="17">
      <c r="A17" s="31" t="inlineStr">
        <is>
          <t>Agricultural</t>
        </is>
      </c>
      <c r="B17" s="32">
        <f>COUNTIF('Assesment Roll'!$E$3:$E$10, A17)</f>
        <v/>
      </c>
      <c r="C17" s="33">
        <f>SUMIF('Assesment Roll'!$E$3:$E$10, A17, 'Assesment Roll'!$H$3:$H$10)</f>
        <v/>
      </c>
      <c r="D17" s="33">
        <f>SUMIF('Assesment Roll'!$E$3:$E$10, A17, 'Assesment Roll'!$J$3:$J$10)</f>
        <v/>
      </c>
      <c r="E17" s="33">
        <f>SUMIF('Assesment Roll'!$E$3:$E$10, A17, 'Assesment Roll'!$M$3:$M$10)</f>
        <v/>
      </c>
      <c r="F17" s="34">
        <f>E17/$E$19</f>
        <v/>
      </c>
    </row>
    <row r="18">
      <c r="A18" s="27" t="inlineStr">
        <is>
          <t>Commercial</t>
        </is>
      </c>
      <c r="B18" s="28">
        <f>COUNTIF('Assesment Roll'!$E$3:$E$10, A18)</f>
        <v/>
      </c>
      <c r="C18" s="29">
        <f>SUMIF('Assesment Roll'!$E$3:$E$10, A18, 'Assesment Roll'!$H$3:$H$10)</f>
        <v/>
      </c>
      <c r="D18" s="29">
        <f>SUMIF('Assesment Roll'!$E$3:$E$10, A18, 'Assesment Roll'!$J$3:$J$10)</f>
        <v/>
      </c>
      <c r="E18" s="29">
        <f>SUMIF('Assesment Roll'!$E$3:$E$10, A18, 'Assesment Roll'!$M$3:$M$10)</f>
        <v/>
      </c>
      <c r="F18" s="30">
        <f>E18/$E$19</f>
        <v/>
      </c>
    </row>
    <row r="19">
      <c r="A19" s="22" t="inlineStr">
        <is>
          <t>Total Municipal Assessment</t>
        </is>
      </c>
      <c r="B19" s="23">
        <f>SUM(B16:B18)</f>
        <v/>
      </c>
      <c r="C19" s="24">
        <f>SUM(C16:C18)</f>
        <v/>
      </c>
      <c r="D19" s="24">
        <f>SUM(D16:D18)</f>
        <v/>
      </c>
      <c r="E19" s="24">
        <f>SUM(E16:E18)</f>
        <v/>
      </c>
      <c r="F19" s="25">
        <f>SUM(F16:F18)</f>
        <v/>
      </c>
    </row>
    <row r="20"/>
    <row r="21">
      <c r="A21" s="12" t="inlineStr">
        <is>
          <t>3. GEOGRAPHIC PERFORMANCE: BARANGAY TAX MATRIX</t>
        </is>
      </c>
    </row>
    <row r="22">
      <c r="A22" s="13" t="inlineStr">
        <is>
          <t>Barangay</t>
        </is>
      </c>
      <c r="B22" s="13" t="inlineStr">
        <is>
          <t>Parcels</t>
        </is>
      </c>
      <c r="C22" s="13" t="inlineStr">
        <is>
          <t>Total Assessed Value</t>
        </is>
      </c>
      <c r="D22" s="13" t="inlineStr">
        <is>
          <t>Tax Due (Billed)</t>
        </is>
      </c>
      <c r="E22" s="13" t="inlineStr">
        <is>
          <t>Tax Collected</t>
        </is>
      </c>
      <c r="F22" s="13" t="inlineStr">
        <is>
          <t>Status</t>
        </is>
      </c>
    </row>
    <row r="23">
      <c r="A23" s="31" t="inlineStr">
        <is>
          <t>Balogo</t>
        </is>
      </c>
      <c r="B23" s="32">
        <f>COUNTIF('Assesment Roll'!$D$3:$D$10, A23)</f>
        <v/>
      </c>
      <c r="C23" s="33">
        <f>SUMIF('Assesment Roll'!$D$3:$D$10, A23, 'Assesment Roll'!$J$3:$J$10)</f>
        <v/>
      </c>
      <c r="D23" s="33">
        <f>SUMIF('Assesment Roll'!$D$3:$D$10, A23, 'Assesment Roll'!$M$3:$M$10)</f>
        <v/>
      </c>
      <c r="E23" s="33">
        <f>SUMIFS('Treasurer Collections'!$D$3:$D$7, 'Treasurer Collections'!$C$3:$C$7, VLOOKUP(A23, 'Assesment Roll'!$D$3:$A$10, -3, FALSE))</f>
        <v/>
      </c>
      <c r="F23" s="35">
        <f>IF(SUMIF('Assesment Roll'!$D$3:$D$10, A23, 'Assesment Roll'!$N$3:$N$10)="Paid", "Fully Settled", "Delinquent / Pending")</f>
        <v/>
      </c>
    </row>
    <row r="24">
      <c r="A24" s="27" t="inlineStr">
        <is>
          <t>Caranan</t>
        </is>
      </c>
      <c r="B24" s="28">
        <f>COUNTIF('Assesment Roll'!$D$3:$D$10, A24)</f>
        <v/>
      </c>
      <c r="C24" s="29">
        <f>SUMIF('Assesment Roll'!$D$3:$D$10, A24, 'Assesment Roll'!$J$3:$J$10)</f>
        <v/>
      </c>
      <c r="D24" s="29">
        <f>SUMIF('Assesment Roll'!$D$3:$D$10, A24, 'Assesment Roll'!$M$3:$M$10)</f>
        <v/>
      </c>
      <c r="E24" s="29">
        <f>SUMIFS('Treasurer Collections'!$D$3:$D$7, 'Treasurer Collections'!$C$3:$C$7, VLOOKUP(A24, 'Assesment Roll'!$D$3:$A$10, -3, FALSE))</f>
        <v/>
      </c>
      <c r="F24" s="36">
        <f>IF(SUMIF('Assesment Roll'!$D$3:$D$10, A24, 'Assesment Roll'!$N$3:$N$10)="Paid", "Fully Settled", "Delinquent / Pending")</f>
        <v/>
      </c>
    </row>
    <row r="25">
      <c r="A25" s="31" t="inlineStr">
        <is>
          <t>Dalupaon</t>
        </is>
      </c>
      <c r="B25" s="32">
        <f>COUNTIF('Assesment Roll'!$D$3:$D$10, A25)</f>
        <v/>
      </c>
      <c r="C25" s="33">
        <f>SUMIF('Assesment Roll'!$D$3:$D$10, A25, 'Assesment Roll'!$J$3:$J$10)</f>
        <v/>
      </c>
      <c r="D25" s="33">
        <f>SUMIF('Assesment Roll'!$D$3:$D$10, A25, 'Assesment Roll'!$M$3:$M$10)</f>
        <v/>
      </c>
      <c r="E25" s="33">
        <f>SUMIFS('Treasurer Collections'!$D$3:$D$7, 'Treasurer Collections'!$C$3:$C$7, VLOOKUP(A25, 'Assesment Roll'!$D$3:$A$10, -3, FALSE))</f>
        <v/>
      </c>
      <c r="F25" s="35">
        <f>IF(SUMIF('Assesment Roll'!$D$3:$D$10, A25, 'Assesment Roll'!$N$3:$N$10)="Paid", "Fully Settled", "Delinquent / Pending")</f>
        <v/>
      </c>
    </row>
    <row r="26">
      <c r="A26" s="27" t="inlineStr">
        <is>
          <t>Odicon</t>
        </is>
      </c>
      <c r="B26" s="28">
        <f>COUNTIF('Assesment Roll'!$D$3:$D$10, A26)</f>
        <v/>
      </c>
      <c r="C26" s="29">
        <f>SUMIF('Assesment Roll'!$D$3:$D$10, A26, 'Assesment Roll'!$J$3:$J$10)</f>
        <v/>
      </c>
      <c r="D26" s="29">
        <f>SUMIF('Assesment Roll'!$D$3:$D$10, A26, 'Assesment Roll'!$M$3:$M$10)</f>
        <v/>
      </c>
      <c r="E26" s="29">
        <f>SUMIFS('Treasurer Collections'!$D$3:$D$7, 'Treasurer Collections'!$C$3:$C$7, VLOOKUP(A26, 'Assesment Roll'!$D$3:$A$10, -3, FALSE))</f>
        <v/>
      </c>
      <c r="F26" s="36">
        <f>IF(SUMIF('Assesment Roll'!$D$3:$D$10, A26, 'Assesment Roll'!$N$3:$N$10)="Paid", "Fully Settled", "Delinquent / Pending")</f>
        <v/>
      </c>
    </row>
    <row r="27">
      <c r="A27" s="31" t="inlineStr">
        <is>
          <t>Tinalmud</t>
        </is>
      </c>
      <c r="B27" s="32">
        <f>COUNTIF('Assesment Roll'!$D$3:$D$10, A27)</f>
        <v/>
      </c>
      <c r="C27" s="33">
        <f>SUMIF('Assesment Roll'!$D$3:$D$10, A27, 'Assesment Roll'!$J$3:$J$10)</f>
        <v/>
      </c>
      <c r="D27" s="33">
        <f>SUMIF('Assesment Roll'!$D$3:$D$10, A27, 'Assesment Roll'!$M$3:$M$10)</f>
        <v/>
      </c>
      <c r="E27" s="33">
        <f>SUMIFS('Treasurer Collections'!$D$3:$D$7, 'Treasurer Collections'!$C$3:$C$7, VLOOKUP(A27, 'Assesment Roll'!$D$3:$A$10, -3, FALSE))</f>
        <v/>
      </c>
      <c r="F27" s="35">
        <f>IF(SUMIF('Assesment Roll'!$D$3:$D$10, A27, 'Assesment Roll'!$N$3:$N$10)="Paid", "Fully Settled", "Delinquent / Pending")</f>
        <v/>
      </c>
    </row>
    <row r="28">
      <c r="A28" s="27" t="inlineStr">
        <is>
          <t>Macad</t>
        </is>
      </c>
      <c r="B28" s="28">
        <f>COUNTIF('Assesment Roll'!$D$3:$D$10, A28)</f>
        <v/>
      </c>
      <c r="C28" s="29">
        <f>SUMIF('Assesment Roll'!$D$3:$D$10, A28, 'Assesment Roll'!$J$3:$J$10)</f>
        <v/>
      </c>
      <c r="D28" s="29">
        <f>SUMIF('Assesment Roll'!$D$3:$D$10, A28, 'Assesment Roll'!$M$3:$M$10)</f>
        <v/>
      </c>
      <c r="E28" s="29">
        <f>SUMIFS('Treasurer Collections'!$D$3:$D$7, 'Treasurer Collections'!$C$3:$C$7, VLOOKUP(A28, 'Assesment Roll'!$D$3:$A$10, -3, FALSE))</f>
        <v/>
      </c>
      <c r="F28" s="36">
        <f>IF(SUMIF('Assesment Roll'!$D$3:$D$10, A28, 'Assesment Roll'!$N$3:$N$10)="Paid", "Fully Settled", "Delinquent / Pending")</f>
        <v/>
      </c>
    </row>
    <row r="29">
      <c r="A29" s="31" t="inlineStr">
        <is>
          <t>Cuco</t>
        </is>
      </c>
      <c r="B29" s="32">
        <f>COUNTIF('Assesment Roll'!$D$3:$D$10, A29)</f>
        <v/>
      </c>
      <c r="C29" s="33">
        <f>SUMIF('Assesment Roll'!$D$3:$D$10, A29, 'Assesment Roll'!$J$3:$J$10)</f>
        <v/>
      </c>
      <c r="D29" s="33">
        <f>SUMIF('Assesment Roll'!$D$3:$D$10, A29, 'Assesment Roll'!$M$3:$M$10)</f>
        <v/>
      </c>
      <c r="E29" s="33">
        <f>SUMIFS('Treasurer Collections'!$D$3:$D$7, 'Treasurer Collections'!$C$3:$C$7, VLOOKUP(A29, 'Assesment Roll'!$D$3:$A$10, -3, FALSE))</f>
        <v/>
      </c>
      <c r="F29" s="35">
        <f>IF(SUMIF('Assesment Roll'!$D$3:$D$10, A29, 'Assesment Roll'!$N$3:$N$10)="Paid", "Fully Settled", "Delinquent / Pending")</f>
        <v/>
      </c>
    </row>
    <row r="30">
      <c r="A30" s="27" t="inlineStr">
        <is>
          <t>Itulan</t>
        </is>
      </c>
      <c r="B30" s="28">
        <f>COUNTIF('Assesment Roll'!$D$3:$D$10, A30)</f>
        <v/>
      </c>
      <c r="C30" s="29">
        <f>SUMIF('Assesment Roll'!$D$3:$D$10, A30, 'Assesment Roll'!$J$3:$J$10)</f>
        <v/>
      </c>
      <c r="D30" s="29">
        <f>SUMIF('Assesment Roll'!$D$3:$D$10, A30, 'Assesment Roll'!$M$3:$M$10)</f>
        <v/>
      </c>
      <c r="E30" s="29">
        <f>SUMIFS('Treasurer Collections'!$D$3:$D$7, 'Treasurer Collections'!$C$3:$C$7, VLOOKUP(A30, 'Assesment Roll'!$D$3:$A$10, -3, FALSE))</f>
        <v/>
      </c>
      <c r="F30" s="36">
        <f>IF(SUMIF('Assesment Roll'!$D$3:$D$10, A30, 'Assesment Roll'!$N$3:$N$10)="Paid", "Fully Settled", "Delinquent / Pending")</f>
        <v/>
      </c>
    </row>
    <row r="31">
      <c r="A31" s="22" t="inlineStr">
        <is>
          <t>Total All Barangays</t>
        </is>
      </c>
      <c r="B31" s="23">
        <f>SUM(B23:B30)</f>
        <v/>
      </c>
      <c r="C31" s="24">
        <f>SUM(C23:C30)</f>
        <v/>
      </c>
      <c r="D31" s="24">
        <f>SUM(D23:D30)</f>
        <v/>
      </c>
      <c r="E31" s="24">
        <f>SUM(E23:E30)</f>
        <v/>
      </c>
      <c r="F31" s="22" t="inlineStr">
        <is>
          <t>8 Barangays</t>
        </is>
      </c>
    </row>
  </sheetData>
  <mergeCells count="14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18" customWidth="1" min="2" max="2"/>
    <col width="17" customWidth="1" min="3" max="3"/>
    <col width="11" customWidth="1" min="4" max="4"/>
    <col width="17" customWidth="1" min="5" max="5"/>
    <col width="15" customWidth="1" min="6" max="6"/>
    <col width="23" customWidth="1" min="7" max="7"/>
    <col width="15" customWidth="1" min="8" max="8"/>
    <col width="85" customWidth="1" min="9" max="9"/>
    <col width="17" customWidth="1" min="10" max="10"/>
    <col width="17" customWidth="1" min="11" max="11"/>
    <col width="15" customWidth="1" min="12" max="12"/>
    <col width="16" customWidth="1" min="13" max="13"/>
    <col width="17" customWidth="1" min="14" max="14"/>
    <col width="11" customWidth="1" min="15" max="15"/>
  </cols>
  <sheetData>
    <row r="1">
      <c r="A1" s="1" t="inlineStr">
        <is>
          <t>MUNICIPAL ASSESSOR'S OFFICE - REAL PROPERTY ASSESSMENT ROLL (CY 2026)</t>
        </is>
      </c>
    </row>
    <row r="2">
      <c r="A2" s="2" t="inlineStr">
        <is>
          <t>Official Register of Taxable Real Properties, Market Values, and Assessment Levels | Municipality of Pasacao</t>
        </is>
      </c>
    </row>
    <row r="3">
      <c r="A3" s="13" t="inlineStr">
        <is>
          <t>TD No.</t>
        </is>
      </c>
      <c r="B3" s="13" t="inlineStr">
        <is>
          <t>PIN</t>
        </is>
      </c>
      <c r="C3" s="13" t="inlineStr">
        <is>
          <t>Owner (Masked)</t>
        </is>
      </c>
      <c r="D3" s="13" t="inlineStr">
        <is>
          <t>Barangay</t>
        </is>
      </c>
      <c r="E3" s="13" t="inlineStr">
        <is>
          <t>Classification</t>
        </is>
      </c>
      <c r="F3" s="13" t="inlineStr">
        <is>
          <t>Area (sqm)</t>
        </is>
      </c>
      <c r="G3" s="13" t="inlineStr">
        <is>
          <t>Unit Value (PHP/sqm)</t>
        </is>
      </c>
      <c r="H3" s="13" t="inlineStr">
        <is>
          <t>Market Value</t>
        </is>
      </c>
      <c r="I3" s="13" t="inlineStr">
        <is>
          <t>Assessment Level</t>
        </is>
      </c>
      <c r="J3" s="13" t="inlineStr">
        <is>
          <t>Assessed Value</t>
        </is>
      </c>
      <c r="K3" s="13" t="inlineStr">
        <is>
          <t>Basic RPT (1%)</t>
        </is>
      </c>
      <c r="L3" s="13" t="inlineStr">
        <is>
          <t>SEF (1%)</t>
        </is>
      </c>
      <c r="M3" s="13" t="inlineStr">
        <is>
          <t>Total Tax Due</t>
        </is>
      </c>
      <c r="N3" s="13" t="inlineStr">
        <is>
          <t>Payment Status</t>
        </is>
      </c>
      <c r="O3" s="13" t="inlineStr">
        <is>
          <t>OR No.</t>
        </is>
      </c>
    </row>
    <row r="4">
      <c r="A4" s="36" t="inlineStr">
        <is>
          <t>TD-26-0001</t>
        </is>
      </c>
      <c r="B4" s="36" t="inlineStr">
        <is>
          <t>041-01-001</t>
        </is>
      </c>
      <c r="C4" s="36" t="inlineStr">
        <is>
          <t>Dela Cruz, J.</t>
        </is>
      </c>
      <c r="D4" s="36" t="inlineStr">
        <is>
          <t>Balogo</t>
        </is>
      </c>
      <c r="E4" s="36" t="inlineStr">
        <is>
          <t>Residential</t>
        </is>
      </c>
      <c r="F4" s="28" t="n">
        <v>250</v>
      </c>
      <c r="G4" s="29" t="n">
        <v>1200</v>
      </c>
      <c r="H4" s="29">
        <f>F4*G4</f>
        <v/>
      </c>
      <c r="I4" s="30">
        <f>IF(E4="Residential",0.2,IF(E4="Agricultural",0.4,IF(E4="Commercial",0.5,0.2)))</f>
        <v/>
      </c>
      <c r="J4" s="29">
        <f>H4*I4</f>
        <v/>
      </c>
      <c r="K4" s="29">
        <f>J4*0.01</f>
        <v/>
      </c>
      <c r="L4" s="29">
        <f>J4*0.01</f>
        <v/>
      </c>
      <c r="M4" s="29">
        <f>K4+L4</f>
        <v/>
      </c>
      <c r="N4" s="37" t="inlineStr">
        <is>
          <t>Paid</t>
        </is>
      </c>
      <c r="O4" s="36" t="inlineStr">
        <is>
          <t>7712301</t>
        </is>
      </c>
    </row>
    <row r="5">
      <c r="A5" s="35" t="inlineStr">
        <is>
          <t>TD-26-0002</t>
        </is>
      </c>
      <c r="B5" s="35" t="inlineStr">
        <is>
          <t>041-02-014</t>
        </is>
      </c>
      <c r="C5" s="35" t="inlineStr">
        <is>
          <t>Santos, M.</t>
        </is>
      </c>
      <c r="D5" s="35" t="inlineStr">
        <is>
          <t>Caranan</t>
        </is>
      </c>
      <c r="E5" s="35" t="inlineStr">
        <is>
          <t>Agricultural</t>
        </is>
      </c>
      <c r="F5" s="32" t="n">
        <v>12000</v>
      </c>
      <c r="G5" s="33" t="n">
        <v>85</v>
      </c>
      <c r="H5" s="33">
        <f>F5*G5</f>
        <v/>
      </c>
      <c r="I5" s="34">
        <f>IF(E5="Residential",0.2,IF(E5="Agricultural",0.4,IF(E5="Commercial",0.5,0.2)))</f>
        <v/>
      </c>
      <c r="J5" s="33">
        <f>H5*I5</f>
        <v/>
      </c>
      <c r="K5" s="33">
        <f>J5*0.01</f>
        <v/>
      </c>
      <c r="L5" s="33">
        <f>J5*0.01</f>
        <v/>
      </c>
      <c r="M5" s="33">
        <f>K5+L5</f>
        <v/>
      </c>
      <c r="N5" s="38" t="inlineStr">
        <is>
          <t>Unpaid</t>
        </is>
      </c>
      <c r="O5" s="35" t="inlineStr"/>
    </row>
    <row r="6">
      <c r="A6" s="36" t="inlineStr">
        <is>
          <t>TD-26-0003</t>
        </is>
      </c>
      <c r="B6" s="36" t="inlineStr">
        <is>
          <t>041-03-007</t>
        </is>
      </c>
      <c r="C6" s="36" t="inlineStr">
        <is>
          <t>Reyes, A.</t>
        </is>
      </c>
      <c r="D6" s="36" t="inlineStr">
        <is>
          <t>Dalupaon</t>
        </is>
      </c>
      <c r="E6" s="36" t="inlineStr">
        <is>
          <t>Commercial</t>
        </is>
      </c>
      <c r="F6" s="28" t="n">
        <v>400</v>
      </c>
      <c r="G6" s="29" t="n">
        <v>2500</v>
      </c>
      <c r="H6" s="29">
        <f>F6*G6</f>
        <v/>
      </c>
      <c r="I6" s="30">
        <f>IF(E6="Residential",0.2,IF(E6="Agricultural",0.4,IF(E6="Commercial",0.5,0.2)))</f>
        <v/>
      </c>
      <c r="J6" s="29">
        <f>H6*I6</f>
        <v/>
      </c>
      <c r="K6" s="29">
        <f>J6*0.01</f>
        <v/>
      </c>
      <c r="L6" s="29">
        <f>J6*0.01</f>
        <v/>
      </c>
      <c r="M6" s="29">
        <f>K6+L6</f>
        <v/>
      </c>
      <c r="N6" s="37" t="inlineStr">
        <is>
          <t>Paid</t>
        </is>
      </c>
      <c r="O6" s="36" t="inlineStr">
        <is>
          <t>7712302</t>
        </is>
      </c>
    </row>
    <row r="7">
      <c r="A7" s="35" t="inlineStr">
        <is>
          <t>TD-26-0004</t>
        </is>
      </c>
      <c r="B7" s="35" t="inlineStr">
        <is>
          <t>041-04-022</t>
        </is>
      </c>
      <c r="C7" s="35" t="inlineStr">
        <is>
          <t>Bautista, R.</t>
        </is>
      </c>
      <c r="D7" s="35" t="inlineStr">
        <is>
          <t>Odicon</t>
        </is>
      </c>
      <c r="E7" s="35" t="inlineStr">
        <is>
          <t>Residential</t>
        </is>
      </c>
      <c r="F7" s="32" t="n">
        <v>180</v>
      </c>
      <c r="G7" s="33" t="n">
        <v>1200</v>
      </c>
      <c r="H7" s="33">
        <f>F7*G7</f>
        <v/>
      </c>
      <c r="I7" s="34">
        <f>IF(E7="Residential",0.2,IF(E7="Agricultural",0.4,IF(E7="Commercial",0.5,0.2)))</f>
        <v/>
      </c>
      <c r="J7" s="33">
        <f>H7*I7</f>
        <v/>
      </c>
      <c r="K7" s="33">
        <f>J7*0.01</f>
        <v/>
      </c>
      <c r="L7" s="33">
        <f>J7*0.01</f>
        <v/>
      </c>
      <c r="M7" s="33">
        <f>K7+L7</f>
        <v/>
      </c>
      <c r="N7" s="37" t="inlineStr">
        <is>
          <t>Paid</t>
        </is>
      </c>
      <c r="O7" s="35" t="inlineStr">
        <is>
          <t>7712303</t>
        </is>
      </c>
    </row>
    <row r="8">
      <c r="A8" s="36" t="inlineStr">
        <is>
          <t>TD-26-0005</t>
        </is>
      </c>
      <c r="B8" s="36" t="inlineStr">
        <is>
          <t>041-05-003</t>
        </is>
      </c>
      <c r="C8" s="36" t="inlineStr">
        <is>
          <t>Garcia, L.</t>
        </is>
      </c>
      <c r="D8" s="36" t="inlineStr">
        <is>
          <t>Tinalmud</t>
        </is>
      </c>
      <c r="E8" s="36" t="inlineStr">
        <is>
          <t>Agricultural</t>
        </is>
      </c>
      <c r="F8" s="28" t="n">
        <v>8500</v>
      </c>
      <c r="G8" s="29" t="n">
        <v>85</v>
      </c>
      <c r="H8" s="29">
        <f>F8*G8</f>
        <v/>
      </c>
      <c r="I8" s="30">
        <f>IF(E8="Residential",0.2,IF(E8="Agricultural",0.4,IF(E8="Commercial",0.5,0.2)))</f>
        <v/>
      </c>
      <c r="J8" s="29">
        <f>H8*I8</f>
        <v/>
      </c>
      <c r="K8" s="29">
        <f>J8*0.01</f>
        <v/>
      </c>
      <c r="L8" s="29">
        <f>J8*0.01</f>
        <v/>
      </c>
      <c r="M8" s="29">
        <f>K8+L8</f>
        <v/>
      </c>
      <c r="N8" s="38" t="inlineStr">
        <is>
          <t>Unpaid</t>
        </is>
      </c>
      <c r="O8" s="36" t="inlineStr"/>
    </row>
    <row r="9">
      <c r="A9" s="35" t="inlineStr">
        <is>
          <t>TD-26-0006</t>
        </is>
      </c>
      <c r="B9" s="35" t="inlineStr">
        <is>
          <t>041-06-011</t>
        </is>
      </c>
      <c r="C9" s="35" t="inlineStr">
        <is>
          <t>Mendoza, C.</t>
        </is>
      </c>
      <c r="D9" s="35" t="inlineStr">
        <is>
          <t>Macad</t>
        </is>
      </c>
      <c r="E9" s="35" t="inlineStr">
        <is>
          <t>Residential</t>
        </is>
      </c>
      <c r="F9" s="32" t="n">
        <v>320</v>
      </c>
      <c r="G9" s="33" t="n">
        <v>1000</v>
      </c>
      <c r="H9" s="33">
        <f>F9*G9</f>
        <v/>
      </c>
      <c r="I9" s="34">
        <f>IF(E9="Residential",0.2,IF(E9="Agricultural",0.4,IF(E9="Commercial",0.5,0.2)))</f>
        <v/>
      </c>
      <c r="J9" s="33">
        <f>H9*I9</f>
        <v/>
      </c>
      <c r="K9" s="33">
        <f>J9*0.01</f>
        <v/>
      </c>
      <c r="L9" s="33">
        <f>J9*0.01</f>
        <v/>
      </c>
      <c r="M9" s="33">
        <f>K9+L9</f>
        <v/>
      </c>
      <c r="N9" s="37" t="inlineStr">
        <is>
          <t>Paid</t>
        </is>
      </c>
      <c r="O9" s="35" t="inlineStr">
        <is>
          <t>7712304</t>
        </is>
      </c>
    </row>
    <row r="10">
      <c r="A10" s="36" t="inlineStr">
        <is>
          <t>TD-26-0007</t>
        </is>
      </c>
      <c r="B10" s="36" t="inlineStr">
        <is>
          <t>041-07-005</t>
        </is>
      </c>
      <c r="C10" s="36" t="inlineStr">
        <is>
          <t>Villanueva, P.</t>
        </is>
      </c>
      <c r="D10" s="36" t="inlineStr">
        <is>
          <t>Cuco</t>
        </is>
      </c>
      <c r="E10" s="36" t="inlineStr">
        <is>
          <t>Commercial</t>
        </is>
      </c>
      <c r="F10" s="28" t="n">
        <v>150</v>
      </c>
      <c r="G10" s="29" t="n">
        <v>2500</v>
      </c>
      <c r="H10" s="29">
        <f>F10*G10</f>
        <v/>
      </c>
      <c r="I10" s="30">
        <f>IF(E10="Residential",0.2,IF(E10="Agricultural",0.4,IF(E10="Commercial",0.5,0.2)))</f>
        <v/>
      </c>
      <c r="J10" s="29">
        <f>H10*I10</f>
        <v/>
      </c>
      <c r="K10" s="29">
        <f>J10*0.01</f>
        <v/>
      </c>
      <c r="L10" s="29">
        <f>J10*0.01</f>
        <v/>
      </c>
      <c r="M10" s="29">
        <f>K10+L10</f>
        <v/>
      </c>
      <c r="N10" s="38" t="inlineStr">
        <is>
          <t>Unpaid</t>
        </is>
      </c>
      <c r="O10" s="36" t="inlineStr"/>
    </row>
    <row r="11">
      <c r="A11" s="35" t="inlineStr">
        <is>
          <t>TD-26-0008</t>
        </is>
      </c>
      <c r="B11" s="35" t="inlineStr">
        <is>
          <t>041-08-019</t>
        </is>
      </c>
      <c r="C11" s="35" t="inlineStr">
        <is>
          <t>Ramos, E.</t>
        </is>
      </c>
      <c r="D11" s="35" t="inlineStr">
        <is>
          <t>Itulan</t>
        </is>
      </c>
      <c r="E11" s="35" t="inlineStr">
        <is>
          <t>Agricultural</t>
        </is>
      </c>
      <c r="F11" s="32" t="n">
        <v>15000</v>
      </c>
      <c r="G11" s="33" t="n">
        <v>85</v>
      </c>
      <c r="H11" s="33">
        <f>F11*G11</f>
        <v/>
      </c>
      <c r="I11" s="34">
        <f>IF(E11="Residential",0.2,IF(E11="Agricultural",0.4,IF(E11="Commercial",0.5,0.2)))</f>
        <v/>
      </c>
      <c r="J11" s="33">
        <f>H11*I11</f>
        <v/>
      </c>
      <c r="K11" s="33">
        <f>J11*0.01</f>
        <v/>
      </c>
      <c r="L11" s="33">
        <f>J11*0.01</f>
        <v/>
      </c>
      <c r="M11" s="33">
        <f>K11+L11</f>
        <v/>
      </c>
      <c r="N11" s="37" t="inlineStr">
        <is>
          <t>Paid</t>
        </is>
      </c>
      <c r="O11" s="35" t="inlineStr">
        <is>
          <t>7712305</t>
        </is>
      </c>
    </row>
    <row r="12">
      <c r="A12" s="22" t="inlineStr">
        <is>
          <t>TOTAL MUNICIPAL ROLL</t>
        </is>
      </c>
      <c r="B12" s="23">
        <f>COUNTA(A4:A11)</f>
        <v/>
      </c>
      <c r="C12" s="22" t="n"/>
      <c r="D12" s="22" t="n"/>
      <c r="E12" s="22" t="n"/>
      <c r="F12" s="23">
        <f>SUM(F4:F11)</f>
        <v/>
      </c>
      <c r="G12" s="22" t="n"/>
      <c r="H12" s="24">
        <f>SUM(H4:H11)</f>
        <v/>
      </c>
      <c r="I12" s="22" t="n"/>
      <c r="J12" s="24">
        <f>SUM(J4:J11)</f>
        <v/>
      </c>
      <c r="K12" s="24">
        <f>SUM(K4:K11)</f>
        <v/>
      </c>
      <c r="L12" s="24">
        <f>SUM(L4:L11)</f>
        <v/>
      </c>
      <c r="M12" s="24">
        <f>SUM(M4:M11)</f>
        <v/>
      </c>
      <c r="N12" s="22" t="n"/>
      <c r="O12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119" customWidth="1" min="1" max="1"/>
    <col width="51" customWidth="1" min="2" max="2"/>
    <col width="78" customWidth="1" min="3" max="3"/>
    <col width="65" customWidth="1" min="4" max="4"/>
    <col width="86" customWidth="1" min="5" max="5"/>
    <col width="38" customWidth="1" min="6" max="6"/>
    <col width="127" customWidth="1" min="7" max="7"/>
    <col width="53" customWidth="1" min="8" max="8"/>
    <col width="28" customWidth="1" min="9" max="9"/>
    <col width="14" customWidth="1" min="10" max="10"/>
    <col width="38" customWidth="1" min="11" max="11"/>
    <col width="14" customWidth="1" min="12" max="12"/>
  </cols>
  <sheetData>
    <row r="1">
      <c r="A1" s="39" t="inlineStr">
        <is>
          <t>MUNICIPAL TREASURER'S OFFICE - REAL PROPERTY TAX COLLECTIONS (CY 2026)</t>
        </is>
      </c>
    </row>
    <row r="2">
      <c r="A2" s="2" t="inlineStr">
        <is>
          <t>Official Collection Register, Real-Time Cross-Department Synchronization &amp; Reconciliation | Municipality of Pasacao</t>
        </is>
      </c>
    </row>
    <row r="3"/>
    <row r="4">
      <c r="A4" s="5" t="inlineStr">
        <is>
          <t>TOTAL RECEIPTS ISSUED</t>
        </is>
      </c>
      <c r="B4" s="4" t="n"/>
      <c r="C4" s="5" t="inlineStr">
        <is>
          <t>TOTAL CASH COLLECTED</t>
        </is>
      </c>
      <c r="D4" s="4" t="n"/>
      <c r="E4" s="3" t="inlineStr">
        <is>
          <t>TOTAL BILLED TAX (TARGET)</t>
        </is>
      </c>
      <c r="F4" s="4" t="n"/>
      <c r="G4" s="6" t="inlineStr">
        <is>
          <t>UNPAID DELINQUENCY TARGET</t>
        </is>
      </c>
      <c r="H4" s="4" t="n"/>
      <c r="I4" s="5" t="inlineStr">
        <is>
          <t>COLLECTION REALIZATION %</t>
        </is>
      </c>
      <c r="J4" s="4" t="n"/>
      <c r="K4" s="5" t="inlineStr">
        <is>
          <t>FULLY RECONCILED RECORDS</t>
        </is>
      </c>
      <c r="L4" s="4" t="n"/>
    </row>
    <row r="5">
      <c r="A5" s="40">
        <f>COUNTA(A10:A14)</f>
        <v/>
      </c>
      <c r="B5" s="4" t="n"/>
      <c r="C5" s="9">
        <f>D15</f>
        <v/>
      </c>
      <c r="D5" s="4" t="n"/>
      <c r="E5" s="8">
        <f>'Assesment Roll'!M12</f>
        <v/>
      </c>
      <c r="F5" s="4" t="n"/>
      <c r="G5" s="10">
        <f>E5-C5</f>
        <v/>
      </c>
      <c r="H5" s="4" t="n"/>
      <c r="I5" s="11">
        <f>C5/E5</f>
        <v/>
      </c>
      <c r="J5" s="4" t="n"/>
      <c r="K5" s="40">
        <f>COUNTIF(G10:G14, "Fully Settled")</f>
        <v/>
      </c>
      <c r="L5" s="4" t="n"/>
    </row>
    <row r="6"/>
    <row r="7"/>
    <row r="8">
      <c r="A8" s="41" t="inlineStr">
        <is>
          <t>1. TAX COLLECTION TRANSACTIONS &amp; CROSS-OFFICE RECONCILIATION</t>
        </is>
      </c>
    </row>
    <row r="9">
      <c r="A9" s="42" t="inlineStr">
        <is>
          <t>OR No.</t>
        </is>
      </c>
      <c r="B9" s="42" t="inlineStr">
        <is>
          <t>Date Paid</t>
        </is>
      </c>
      <c r="C9" s="42" t="inlineStr">
        <is>
          <t>TD No.</t>
        </is>
      </c>
      <c r="D9" s="42" t="inlineStr">
        <is>
          <t>Amount Paid</t>
        </is>
      </c>
      <c r="E9" s="42" t="inlineStr">
        <is>
          <t>Tax Due (Assessor)</t>
        </is>
      </c>
      <c r="F9" s="42" t="inlineStr">
        <is>
          <t>Variance (PHP)</t>
        </is>
      </c>
      <c r="G9" s="42" t="inlineStr">
        <is>
          <t>Reconciliation Status</t>
        </is>
      </c>
      <c r="H9" s="42" t="inlineStr">
        <is>
          <t>Remarks</t>
        </is>
      </c>
    </row>
    <row r="10">
      <c r="A10" s="36" t="inlineStr">
        <is>
          <t>7712301</t>
        </is>
      </c>
      <c r="B10" s="36" t="inlineStr">
        <is>
          <t>2026-01-15</t>
        </is>
      </c>
      <c r="C10" s="36" t="inlineStr">
        <is>
          <t>TD-26-0001</t>
        </is>
      </c>
      <c r="D10" s="29" t="n">
        <v>1200</v>
      </c>
      <c r="E10" s="29">
        <f>IFERROR(VLOOKUP(C10, 'Assesment Roll'!$A$4:$M$11, 13, FALSE), "RECORD NOT FOUND")</f>
        <v/>
      </c>
      <c r="F10" s="29">
        <f>IF(ISNUMBER(E10), D10-E10, "N/A")</f>
        <v/>
      </c>
      <c r="G10" s="37">
        <f>IF(NOT(ISNUMBER(E10)), "Record Missing / Error", IF(F10=0, "Fully Settled", IF(F10&lt;0, "Partial / Underpaid", "Overpaid")))</f>
        <v/>
      </c>
      <c r="H10" s="36" t="inlineStr">
        <is>
          <t>Full payment verified; zero variance</t>
        </is>
      </c>
    </row>
    <row r="11">
      <c r="A11" s="35" t="inlineStr">
        <is>
          <t>7712302</t>
        </is>
      </c>
      <c r="B11" s="35" t="inlineStr">
        <is>
          <t>2026-01-20</t>
        </is>
      </c>
      <c r="C11" s="35" t="inlineStr">
        <is>
          <t>TD-26-0003</t>
        </is>
      </c>
      <c r="D11" s="33" t="n">
        <v>10000</v>
      </c>
      <c r="E11" s="33">
        <f>IFERROR(VLOOKUP(C11, 'Assesment Roll'!$A$4:$M$11, 13, FALSE), "RECORD NOT FOUND")</f>
        <v/>
      </c>
      <c r="F11" s="33">
        <f>IF(ISNUMBER(E11), D11-E11, "N/A")</f>
        <v/>
      </c>
      <c r="G11" s="37">
        <f>IF(NOT(ISNUMBER(E11)), "Record Missing / Error", IF(F11=0, "Fully Settled", IF(F11&lt;0, "Partial / Underpaid", "Overpaid")))</f>
        <v/>
      </c>
      <c r="H11" s="35" t="inlineStr">
        <is>
          <t>Full payment verified; zero variance</t>
        </is>
      </c>
    </row>
    <row r="12">
      <c r="A12" s="36" t="inlineStr">
        <is>
          <t>7712303</t>
        </is>
      </c>
      <c r="B12" s="36" t="inlineStr">
        <is>
          <t>2026-02-03</t>
        </is>
      </c>
      <c r="C12" s="36" t="inlineStr">
        <is>
          <t>TD-26-0004</t>
        </is>
      </c>
      <c r="D12" s="29" t="n">
        <v>800</v>
      </c>
      <c r="E12" s="29">
        <f>IFERROR(VLOOKUP(C12, 'Assesment Roll'!$A$4:$M$11, 13, FALSE), "RECORD NOT FOUND")</f>
        <v/>
      </c>
      <c r="F12" s="29">
        <f>IF(ISNUMBER(E12), D12-E12, "N/A")</f>
        <v/>
      </c>
      <c r="G12" s="38">
        <f>IF(NOT(ISNUMBER(E12)), "Record Missing / Error", IF(F12=0, "Fully Settled", IF(F12&lt;0, "Partial / Underpaid", "Overpaid")))</f>
        <v/>
      </c>
      <c r="H12" s="36" t="inlineStr">
        <is>
          <t>Partial payment - underpaid balance of ₱64.00</t>
        </is>
      </c>
    </row>
    <row r="13">
      <c r="A13" s="35" t="inlineStr">
        <is>
          <t>7712304</t>
        </is>
      </c>
      <c r="B13" s="35" t="inlineStr">
        <is>
          <t>2026-02-10</t>
        </is>
      </c>
      <c r="C13" s="35" t="inlineStr">
        <is>
          <t>TD-26-0006</t>
        </is>
      </c>
      <c r="D13" s="33" t="n">
        <v>1280</v>
      </c>
      <c r="E13" s="33">
        <f>IFERROR(VLOOKUP(C13, 'Assesment Roll'!$A$4:$M$11, 13, FALSE), "RECORD NOT FOUND")</f>
        <v/>
      </c>
      <c r="F13" s="33">
        <f>IF(ISNUMBER(E13), D13-E13, "N/A")</f>
        <v/>
      </c>
      <c r="G13" s="37">
        <f>IF(NOT(ISNUMBER(E13)), "Record Missing / Error", IF(F13=0, "Fully Settled", IF(F13&lt;0, "Partial / Underpaid", "Overpaid")))</f>
        <v/>
      </c>
      <c r="H13" s="35" t="inlineStr">
        <is>
          <t>Full payment verified; zero variance</t>
        </is>
      </c>
    </row>
    <row r="14">
      <c r="A14" s="36" t="inlineStr">
        <is>
          <t>7712305</t>
        </is>
      </c>
      <c r="B14" s="36" t="inlineStr">
        <is>
          <t>2026-03-02</t>
        </is>
      </c>
      <c r="C14" s="36" t="inlineStr">
        <is>
          <t>TD-26-0080</t>
        </is>
      </c>
      <c r="D14" s="29" t="n">
        <v>10200</v>
      </c>
      <c r="E14" s="29">
        <f>IFERROR(VLOOKUP(C14, 'Assesment Roll'!$A$4:$M$11, 13, FALSE), "RECORD NOT FOUND")</f>
        <v/>
      </c>
      <c r="F14" s="29">
        <f>IF(ISNUMBER(E14), D14-E14, "N/A")</f>
        <v/>
      </c>
      <c r="G14" s="43">
        <f>IF(NOT(ISNUMBER(E14)), "Record Missing / Error", IF(F14=0, "Fully Settled", IF(F14&lt;0, "Partial / Underpaid", "Overpaid")))</f>
        <v/>
      </c>
      <c r="H14" s="36" t="inlineStr">
        <is>
          <t>TD No. typo (TD-26-0080 missing in Assessor Roll)</t>
        </is>
      </c>
    </row>
    <row r="15">
      <c r="A15" s="22" t="inlineStr">
        <is>
          <t>TOTAL REALIZED COLLECTIONS</t>
        </is>
      </c>
      <c r="B15" s="22" t="n"/>
      <c r="C15" s="22" t="n"/>
      <c r="D15" s="24">
        <f>SUM(D10:D14)</f>
        <v/>
      </c>
      <c r="E15" s="22" t="n"/>
      <c r="F15" s="22" t="n"/>
      <c r="G15" s="22" t="n"/>
      <c r="H15" s="22" t="n"/>
    </row>
    <row r="16"/>
    <row r="17">
      <c r="A17" s="41" t="inlineStr">
        <is>
          <t>2. TREASURER SUMMARY: PAID VS. UNPAID REAL PROPERTY TAX PERFORMANCE</t>
        </is>
      </c>
    </row>
    <row r="18">
      <c r="A18" s="44" t="inlineStr">
        <is>
          <t>Account Classification</t>
        </is>
      </c>
      <c r="B18" s="44" t="inlineStr">
        <is>
          <t>Parcels</t>
        </is>
      </c>
      <c r="C18" s="44" t="inlineStr">
        <is>
          <t>Total Amount Billed</t>
        </is>
      </c>
      <c r="D18" s="44" t="inlineStr">
        <is>
          <t>Actual Realized Collections</t>
        </is>
      </c>
      <c r="E18" s="44" t="inlineStr">
        <is>
          <t>Uncollected / Outstanding</t>
        </is>
      </c>
      <c r="F18" s="44" t="inlineStr">
        <is>
          <t>Realization %</t>
        </is>
      </c>
    </row>
    <row r="19">
      <c r="A19" s="14" t="inlineStr">
        <is>
          <t>Paid Real Property Accounts</t>
        </is>
      </c>
      <c r="B19" s="15">
        <f>COUNTIF('Assesment Roll'!$N$4:$N$11, "Paid")</f>
        <v/>
      </c>
      <c r="C19" s="16">
        <f>SUMIF('Assesment Roll'!$N$4:$N$11, "Paid", 'Assesment Roll'!$M$4:$M$11)</f>
        <v/>
      </c>
      <c r="D19" s="16">
        <f>D15</f>
        <v/>
      </c>
      <c r="E19" s="16">
        <f>C19-D19</f>
        <v/>
      </c>
      <c r="F19" s="17">
        <f>D19/C19</f>
        <v/>
      </c>
    </row>
    <row r="20">
      <c r="A20" s="18" t="inlineStr">
        <is>
          <t>Unpaid / Delinquent Accounts</t>
        </is>
      </c>
      <c r="B20" s="19">
        <f>COUNTIF('Assesment Roll'!$N$4:$N$11, "Unpaid")</f>
        <v/>
      </c>
      <c r="C20" s="20">
        <f>SUMIF('Assesment Roll'!$N$4:$N$11, "Unpaid", 'Assesment Roll'!$M$4:$M$11)</f>
        <v/>
      </c>
      <c r="D20" s="20" t="n">
        <v>0</v>
      </c>
      <c r="E20" s="20">
        <f>C20-D20</f>
        <v/>
      </c>
      <c r="F20" s="21">
        <f>D20/C20</f>
        <v/>
      </c>
    </row>
    <row r="21">
      <c r="A21" s="22" t="inlineStr">
        <is>
          <t>Total Municipal Assessment Base</t>
        </is>
      </c>
      <c r="B21" s="23">
        <f>SUM(B19:B20)</f>
        <v/>
      </c>
      <c r="C21" s="24">
        <f>SUM(C19:C20)</f>
        <v/>
      </c>
      <c r="D21" s="24">
        <f>SUM(D19:D20)</f>
        <v/>
      </c>
      <c r="E21" s="24">
        <f>SUM(E19:E20)</f>
        <v/>
      </c>
      <c r="F21" s="25">
        <f>D21/C21</f>
        <v/>
      </c>
    </row>
    <row r="22"/>
    <row r="23">
      <c r="A23" s="41" t="inlineStr">
        <is>
          <t>3. INTER-OFFICE DATA RECONCILIATION BREAKDOWN</t>
        </is>
      </c>
    </row>
    <row r="24">
      <c r="A24" s="42" t="inlineStr">
        <is>
          <t>Synchronization Audit Status</t>
        </is>
      </c>
      <c r="B24" s="42" t="inlineStr">
        <is>
          <t>Receipts (Count)</t>
        </is>
      </c>
      <c r="C24" s="42" t="inlineStr">
        <is>
          <t>Cash Realized (PHP)</t>
        </is>
      </c>
      <c r="D24" s="42" t="inlineStr">
        <is>
          <t>Inter-Office Action</t>
        </is>
      </c>
    </row>
    <row r="25">
      <c r="A25" s="27" t="inlineStr">
        <is>
          <t>Fully Reconciled &amp; Settled</t>
        </is>
      </c>
      <c r="B25" s="45">
        <f>COUNTIF(G10:G14, "Fully Settled")</f>
        <v/>
      </c>
      <c r="C25" s="46">
        <f>SUMIF(G10:G14, "Fully Settled", D10:D14)</f>
        <v/>
      </c>
      <c r="D25" s="47" t="inlineStr">
        <is>
          <t>Zero variance; tax ledger synchronized with Assessor roll</t>
        </is>
      </c>
    </row>
    <row r="26">
      <c r="A26" s="27" t="inlineStr">
        <is>
          <t>Partial Payment / Pending Bal.</t>
        </is>
      </c>
      <c r="B26" s="45">
        <f>COUNTIF(G10:G14, "Partial / Underpaid")</f>
        <v/>
      </c>
      <c r="C26" s="46">
        <f>SUMIF(G10:G14, "Partial / Underpaid", D10:D14)</f>
        <v/>
      </c>
      <c r="D26" s="47" t="inlineStr">
        <is>
          <t>Collectible balance remaining; billing notice to be generated</t>
        </is>
      </c>
    </row>
    <row r="27">
      <c r="A27" s="27" t="inlineStr">
        <is>
          <t>Record Mismatch / Typo Error</t>
        </is>
      </c>
      <c r="B27" s="45">
        <f>COUNTIF(G10:G14, "Record Missing / Error")</f>
        <v/>
      </c>
      <c r="C27" s="46">
        <f>SUMIF(G10:G14, "Record Missing / Error", D10:D14)</f>
        <v/>
      </c>
      <c r="D27" s="47" t="inlineStr">
        <is>
          <t>TD No. not found in Assessor roll; manual verification needed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2026-10-13T04:05:53Z</dcterms:created>
  <dcterms:modified xmlns:dcterms="http://purl.org/dc/terms/" xmlns:xsi="http://www.w3.org/2001/XMLSchema-instance" xsi:type="dcterms:W3CDTF">2026-10-13T04:05:53Z</dcterms:modified>
</cp:coreProperties>
</file>